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rubia.oliveira\Downloads\"/>
    </mc:Choice>
  </mc:AlternateContent>
  <xr:revisionPtr revIDLastSave="0" documentId="13_ncr:1_{4D47B911-6CDB-4999-97B5-CDC8E66BC32D}" xr6:coauthVersionLast="47" xr6:coauthVersionMax="47" xr10:uidLastSave="{00000000-0000-0000-0000-000000000000}"/>
  <bookViews>
    <workbookView xWindow="-120" yWindow="-120" windowWidth="20730" windowHeight="11040" tabRatio="539" activeTab="3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SegmentaçãodeDados_Subscription_Type">#N/A</definedName>
  </definedNames>
  <calcPr calcId="191029"/>
  <pivotCaches>
    <pivotCache cacheId="9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" i="3" l="1"/>
  <c r="E15" i="3"/>
</calcChain>
</file>

<file path=xl/sharedStrings.xml><?xml version="1.0" encoding="utf-8"?>
<sst xmlns="http://schemas.openxmlformats.org/spreadsheetml/2006/main" count="2018" uniqueCount="320">
  <si>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</si>
  <si>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</si>
  <si>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</si>
  <si>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</si>
  <si>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</si>
  <si>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</si>
  <si>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</si>
  <si>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</si>
  <si>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</si>
  <si>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</si>
  <si>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</si>
  <si>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</si>
  <si>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</si>
  <si>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</si>
  <si>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</si>
  <si>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</si>
  <si>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</si>
  <si>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</si>
  <si>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</si>
  <si>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</si>
  <si>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</si>
  <si>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</si>
  <si>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</si>
  <si>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</si>
  <si>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</si>
  <si>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</si>
  <si>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</si>
  <si>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</si>
  <si>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</si>
  <si>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</si>
  <si>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</si>
  <si>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</si>
  <si>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</si>
  <si>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</si>
  <si>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</si>
  <si>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</si>
  <si>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</si>
  <si>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</si>
  <si>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</si>
  <si>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</si>
  <si>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</si>
  <si>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</si>
  <si>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</si>
  <si>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</si>
  <si>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</si>
  <si>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</si>
  <si>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</si>
  <si>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</si>
  <si>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</si>
  <si>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</si>
  <si>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</si>
  <si>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</si>
  <si>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</si>
  <si>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</si>
  <si>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</si>
  <si>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</si>
  <si>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</si>
  <si>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</si>
  <si>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</si>
  <si>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</si>
  <si>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</si>
  <si>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</si>
  <si>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</si>
  <si>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</si>
  <si>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</si>
  <si>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</si>
  <si>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</si>
  <si>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</si>
  <si>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</si>
  <si>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</si>
  <si>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</si>
  <si>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</si>
  <si>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</si>
  <si>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</si>
  <si>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</si>
  <si>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</si>
  <si>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</si>
  <si>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</si>
  <si>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</si>
  <si>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</si>
  <si>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</si>
  <si>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</si>
  <si>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</si>
  <si>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</si>
  <si>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</si>
  <si>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</si>
  <si>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</si>
  <si>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</si>
  <si>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</si>
  <si>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</si>
  <si>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</si>
  <si>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</si>
  <si>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</si>
  <si>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</si>
  <si>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</si>
  <si>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</si>
  <si>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</si>
  <si>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</si>
  <si>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</si>
  <si>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</si>
  <si>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</si>
  <si>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</si>
  <si>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</si>
  <si>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</si>
  <si>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</si>
  <si>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</si>
  <si>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</si>
  <si>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</si>
  <si>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</si>
  <si>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</si>
  <si>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</si>
  <si>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</si>
  <si>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</si>
  <si>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</si>
  <si>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</si>
  <si>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</si>
  <si>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</si>
  <si>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</si>
  <si>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</si>
  <si>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</si>
  <si>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</si>
  <si>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</si>
  <si>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</si>
  <si>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</si>
  <si>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</si>
  <si>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</si>
  <si>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</si>
  <si>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</si>
  <si>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</si>
  <si>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</si>
  <si>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</si>
  <si>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</si>
  <si>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</si>
  <si>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</si>
  <si>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</si>
  <si>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</si>
  <si>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</si>
  <si>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</si>
  <si>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</si>
  <si>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</si>
  <si>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</si>
  <si>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</si>
  <si>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</si>
  <si>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</si>
  <si>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</si>
  <si>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</si>
  <si>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</si>
  <si>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</si>
  <si>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</si>
  <si>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</si>
  <si>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</si>
  <si>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</si>
  <si>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</si>
  <si>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</si>
  <si>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</si>
  <si>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</si>
  <si>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</si>
  <si>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</si>
  <si>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</si>
  <si>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</si>
  <si>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</si>
  <si>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</si>
  <si>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</si>
  <si>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</si>
  <si>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</si>
  <si>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</si>
  <si>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</si>
  <si>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</si>
  <si>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</si>
  <si>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</si>
  <si>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</si>
  <si>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</si>
  <si>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</si>
  <si>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</si>
  <si>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</si>
  <si>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</si>
  <si>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</si>
  <si>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</si>
  <si>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</si>
  <si>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</si>
  <si>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</si>
  <si>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</si>
  <si>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</si>
  <si>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</si>
  <si>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</si>
  <si>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</si>
  <si>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</si>
  <si>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</si>
  <si>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</si>
  <si>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</si>
  <si>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</si>
  <si>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</si>
  <si>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</si>
  <si>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</si>
  <si>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</si>
  <si>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</si>
  <si>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</si>
  <si>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</si>
  <si>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</si>
  <si>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</si>
  <si>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</si>
  <si>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</si>
  <si>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</si>
  <si>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</si>
  <si>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</si>
  <si>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</si>
  <si>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</si>
  <si>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</si>
  <si>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</si>
  <si>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</si>
  <si>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</si>
  <si>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</si>
  <si>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</si>
  <si>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</si>
  <si>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</si>
  <si>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</si>
  <si>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</si>
  <si>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</si>
  <si>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</si>
  <si>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</si>
  <si>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</si>
  <si>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</si>
  <si>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</si>
  <si>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</si>
  <si>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</si>
  <si>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</si>
  <si>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</si>
  <si>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</si>
  <si>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</si>
  <si>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</si>
  <si>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</si>
  <si>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</si>
  <si>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</si>
  <si>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</si>
  <si>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</si>
  <si>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</si>
  <si>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</si>
  <si>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</si>
  <si>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</si>
  <si>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</si>
  <si>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</si>
  <si>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</si>
  <si>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</si>
  <si>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</si>
  <si>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</si>
  <si>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</si>
  <si>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</si>
  <si>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</si>
  <si>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</si>
  <si>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</si>
  <si>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</si>
  <si>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</si>
  <si>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</si>
  <si>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</si>
  <si>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</si>
  <si>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</si>
  <si>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</si>
  <si>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</si>
  <si>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</si>
  <si>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</si>
  <si>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</si>
  <si>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</si>
  <si>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</si>
  <si>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</si>
  <si>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</si>
  <si>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</si>
  <si>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</si>
  <si>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</si>
  <si>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</si>
  <si>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</si>
  <si>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</si>
  <si>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</si>
  <si>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</si>
  <si>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</si>
  <si>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</si>
  <si>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</si>
  <si>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</si>
  <si>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</si>
  <si>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</si>
  <si>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</si>
  <si>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</si>
  <si>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</si>
  <si>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</si>
  <si>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</si>
  <si>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</si>
  <si>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</si>
  <si>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</si>
  <si>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</si>
  <si>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</si>
  <si>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</si>
  <si>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</si>
  <si>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</si>
  <si>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</si>
  <si>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</si>
  <si>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</si>
  <si>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</si>
  <si>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</si>
  <si>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</si>
  <si>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</si>
  <si>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</si>
  <si>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</si>
  <si>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</si>
  <si>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</si>
  <si>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</si>
  <si>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</si>
  <si>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</si>
  <si>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</si>
  <si>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</si>
  <si>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</si>
  <si>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Rótulos de Linha</t>
  </si>
  <si>
    <t>Total Geral</t>
  </si>
  <si>
    <t>Soma de Minecraft Season Pass Price</t>
  </si>
  <si>
    <t>EA Play Season Pass</t>
  </si>
  <si>
    <t>EA Play Season Pass
Price</t>
  </si>
  <si>
    <t>-</t>
  </si>
  <si>
    <t>Subscription Price</t>
  </si>
  <si>
    <t>Soma de EA Play Season Pass</t>
  </si>
  <si>
    <t>Soma de Total Value</t>
  </si>
  <si>
    <t xml:space="preserve"> XBOX GAME PASS SUBSCRIPTIONS SALES</t>
  </si>
  <si>
    <t>FILTERS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</si>
</sst>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24"/>
      <color rgb="FF136B32"/>
      <name val="Gill Sans MT"/>
      <family val="2"/>
      <scheme val="maj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136B3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ouble">
        <color rgb="FF136B32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5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left"/>
    </xf>
    <xf numFmtId="44" fontId="0" fillId="0" borderId="0" xfId="2" applyFont="1"/>
    <xf numFmtId="0" fontId="0" fillId="0" borderId="0" xfId="0" applyFont="1"/>
    <xf numFmtId="0" fontId="0" fillId="7" borderId="0" xfId="0" applyFont="1" applyFill="1"/>
    <xf numFmtId="0" fontId="0" fillId="0" borderId="0" xfId="0" applyFont="1" applyBorder="1"/>
    <xf numFmtId="0" fontId="5" fillId="0" borderId="2" xfId="1" applyFont="1" applyBorder="1" applyAlignment="1">
      <alignment horizontal="left" indent="7"/>
    </xf>
    <xf numFmtId="0" fontId="1" fillId="0" borderId="2" xfId="1" applyFont="1" applyBorder="1"/>
    <xf numFmtId="0" fontId="0" fillId="0" borderId="2" xfId="0" applyFont="1" applyBorder="1"/>
    <xf numFmtId="0" fontId="1" fillId="0" borderId="2" xfId="1" applyFont="1" applyBorder="1" applyAlignment="1">
      <alignment horizontal="left"/>
    </xf>
    <xf numFmtId="0" fontId="0" fillId="8" borderId="0" xfId="0" applyFont="1" applyFill="1"/>
    <xf numFmtId="0" fontId="4" fillId="8" borderId="0" xfId="0" applyFont="1" applyFill="1" applyAlignment="1">
      <alignment horizontal="center" vertical="center"/>
    </xf>
  </cellXfs>
  <cellStyles count="3">
    <cellStyle name="Moeda" xfId="2" builtinId="4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7812454B-9EBD-4F72-9068-FA94BE9FF08F}">
      <tableStyleElement type="wholeTable" dxfId="15"/>
      <tableStyleElement type="headerRow" dxfId="14"/>
    </tableStyle>
  </tableStyles>
  <colors>
    <mruColors>
      <color rgb="FF136B32"/>
      <color rgb="FF22C55E"/>
      <color rgb="FF5BF6A8"/>
      <color rgb="FFE8E6E9"/>
      <color rgb="FF2AE6B1"/>
      <color rgb="FF000000"/>
      <color rgb="FFE0E0E0"/>
      <color rgb="FFEDEDED"/>
      <color rgb="FFF7F8FC"/>
      <color rgb="FF9BC848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[0120950e-64c8-4092-a257-ba22ed198c69.xlsx]C̳álculos!tbl_annual_total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C̳álculos!$B$5:$B$7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C̳álculos!$C$5:$C$7</c:f>
              <c:numCache>
                <c:formatCode>_("R$"* #,##0.00_);_("R$"* \(#,##0.00\);_("R$"* "-"??_);_(@_)</c:formatCode>
                <c:ptCount val="2"/>
                <c:pt idx="0">
                  <c:v>2824</c:v>
                </c:pt>
                <c:pt idx="1">
                  <c:v>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C-4DD0-B84D-7AA9DC08E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6661440"/>
        <c:axId val="896665760"/>
      </c:barChart>
      <c:catAx>
        <c:axId val="89666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665760"/>
        <c:crosses val="autoZero"/>
        <c:auto val="1"/>
        <c:lblAlgn val="ctr"/>
        <c:lblOffset val="100"/>
        <c:noMultiLvlLbl val="0"/>
      </c:catAx>
      <c:valAx>
        <c:axId val="89666576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9666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0</xdr:row>
      <xdr:rowOff>0</xdr:rowOff>
    </xdr:from>
    <xdr:to>
      <xdr:col>11</xdr:col>
      <xdr:colOff>304800</xdr:colOff>
      <xdr:row>1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0</xdr:row>
      <xdr:rowOff>0</xdr:rowOff>
    </xdr:from>
    <xdr:to>
      <xdr:col>13</xdr:col>
      <xdr:colOff>304800</xdr:colOff>
      <xdr:row>1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80841</xdr:colOff>
      <xdr:row>0</xdr:row>
      <xdr:rowOff>93889</xdr:rowOff>
    </xdr:from>
    <xdr:to>
      <xdr:col>2</xdr:col>
      <xdr:colOff>517871</xdr:colOff>
      <xdr:row>4</xdr:row>
      <xdr:rowOff>1971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630EA10-DDFB-4174-AD6F-CBB669F75E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1909641" y="93889"/>
          <a:ext cx="675155" cy="79390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</xdr:row>
      <xdr:rowOff>28576</xdr:rowOff>
    </xdr:from>
    <xdr:to>
      <xdr:col>0</xdr:col>
      <xdr:colOff>1782536</xdr:colOff>
      <xdr:row>13</xdr:row>
      <xdr:rowOff>9525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id="{F85F9B95-DC6C-4715-AA04-6997CB6877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009651"/>
              <a:ext cx="1782536" cy="132397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23812</xdr:colOff>
      <xdr:row>6</xdr:row>
      <xdr:rowOff>71438</xdr:rowOff>
    </xdr:from>
    <xdr:to>
      <xdr:col>6</xdr:col>
      <xdr:colOff>504825</xdr:colOff>
      <xdr:row>15</xdr:row>
      <xdr:rowOff>135732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876A8D1C-2608-8C6C-89D4-BAA9C31F449C}"/>
            </a:ext>
          </a:extLst>
        </xdr:cNvPr>
        <xdr:cNvGrpSpPr/>
      </xdr:nvGrpSpPr>
      <xdr:grpSpPr>
        <a:xfrm>
          <a:off x="2090737" y="1185863"/>
          <a:ext cx="2919413" cy="1654969"/>
          <a:chOff x="2095500" y="1143000"/>
          <a:chExt cx="4655344" cy="1647825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D7A77263-7404-111B-A806-E2CCC10DEAB3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>
              <a:latin typeface="+mn-lt"/>
            </a:endParaRPr>
          </a:p>
        </xdr:txBody>
      </xdr:sp>
      <xdr:sp macro="" textlink="C̳álculos!E15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61552D02-77C9-4CE7-8E23-3B04A00EEA4C}"/>
              </a:ext>
            </a:extLst>
          </xdr:cNvPr>
          <xdr:cNvSpPr/>
        </xdr:nvSpPr>
        <xdr:spPr>
          <a:xfrm>
            <a:off x="3652782" y="1690770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013F77A-435A-4ABA-88A6-D9C44614F925}" type="TxLink">
              <a:rPr lang="en-US" sz="2400" b="0" i="0" u="none" strike="noStrike" kern="1200">
                <a:solidFill>
                  <a:srgbClr val="22C55E"/>
                </a:solidFill>
                <a:latin typeface="+mn-lt"/>
              </a:rPr>
              <a:pPr algn="ctr"/>
              <a:t> R$ 1.350,00 </a:t>
            </a:fld>
            <a:endParaRPr lang="pt-BR" sz="2400" kern="1200">
              <a:solidFill>
                <a:srgbClr val="22C55E"/>
              </a:solidFill>
              <a:latin typeface="+mn-lt"/>
            </a:endParaRPr>
          </a:p>
        </xdr:txBody>
      </xdr:sp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AB7C9170-0AF4-4EE1-A19A-9EDFF2BFE1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</xdr:spPr>
      </xdr:pic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DC70A7EE-8E1F-F9B2-5965-FE23BFD36B53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+mn-lt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7</xdr:col>
      <xdr:colOff>69056</xdr:colOff>
      <xdr:row>6</xdr:row>
      <xdr:rowOff>61913</xdr:rowOff>
    </xdr:from>
    <xdr:to>
      <xdr:col>12</xdr:col>
      <xdr:colOff>228600</xdr:colOff>
      <xdr:row>15</xdr:row>
      <xdr:rowOff>50007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A41F36A7-AB9C-196A-291F-D90799A3B69C}"/>
            </a:ext>
          </a:extLst>
        </xdr:cNvPr>
        <xdr:cNvGrpSpPr/>
      </xdr:nvGrpSpPr>
      <xdr:grpSpPr>
        <a:xfrm>
          <a:off x="5183981" y="1176338"/>
          <a:ext cx="3036094" cy="1578769"/>
          <a:chOff x="7534275" y="1247775"/>
          <a:chExt cx="4669995" cy="1571625"/>
        </a:xfrm>
      </xdr:grpSpPr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B5BD4B7E-5F14-40A5-8D91-242DE7C7B619}"/>
              </a:ext>
            </a:extLst>
          </xdr:cNvPr>
          <xdr:cNvGrpSpPr/>
        </xdr:nvGrpSpPr>
        <xdr:grpSpPr>
          <a:xfrm>
            <a:off x="7534275" y="1247775"/>
            <a:ext cx="4669995" cy="1571625"/>
            <a:chOff x="2095500" y="1143000"/>
            <a:chExt cx="4669995" cy="1571625"/>
          </a:xfrm>
        </xdr:grpSpPr>
        <xdr:sp macro="" textlink="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id="{A66F6E5F-021B-034F-BDBE-412F89DE8543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>
                <a:latin typeface="+mn-lt"/>
              </a:endParaRPr>
            </a:p>
          </xdr:txBody>
        </xdr:sp>
        <xdr:sp macro="" textlink="C̳álculos!E23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338342F4-73EE-962B-63B1-5B4F29A7A23B}"/>
                </a:ext>
              </a:extLst>
            </xdr:cNvPr>
            <xdr:cNvSpPr/>
          </xdr:nvSpPr>
          <xdr:spPr>
            <a:xfrm>
              <a:off x="3212308" y="1709738"/>
              <a:ext cx="3553187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52E6073-EB91-45C9-81B2-5596C04756C0}" type="TxLink">
                <a:rPr lang="en-US" sz="2400" b="0" i="0" u="none" strike="noStrike" kern="1200">
                  <a:solidFill>
                    <a:srgbClr val="22C55E"/>
                  </a:solidFill>
                  <a:latin typeface="+mn-lt"/>
                </a:rPr>
                <a:pPr algn="ctr"/>
                <a:t> R$ 1.800,00 </a:t>
              </a:fld>
              <a:endParaRPr lang="pt-BR" sz="2400" kern="1200">
                <a:solidFill>
                  <a:srgbClr val="22C55E"/>
                </a:solidFill>
                <a:latin typeface="+mn-lt"/>
              </a:endParaRPr>
            </a:p>
          </xdr:txBody>
        </xdr:sp>
        <xdr:sp macro="" textlink="">
          <xdr:nvSpPr>
            <xdr:cNvPr id="24" name="Retângulo: Cantos Superiores Arredondados 23">
              <a:extLst>
                <a:ext uri="{FF2B5EF4-FFF2-40B4-BE49-F238E27FC236}">
                  <a16:creationId xmlns:a16="http://schemas.microsoft.com/office/drawing/2014/main" id="{4A1F90DC-6777-6E0D-F6C7-E4153C25B868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+mn-lt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kern="1200" baseline="0">
                  <a:latin typeface="+mn-lt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+mn-lt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150B2C94-9D5D-49A6-B131-D70888AB2680}"/>
              </a:ext>
            </a:extLst>
          </xdr:cNvPr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26" name="Imagem 25">
              <a:extLst>
                <a:ext uri="{FF2B5EF4-FFF2-40B4-BE49-F238E27FC236}">
                  <a16:creationId xmlns:a16="http://schemas.microsoft.com/office/drawing/2014/main" id="{1F3EC444-0B76-D734-E296-5A6B57C3B1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7" name="Gráfico 26">
              <a:extLst>
                <a:ext uri="{FF2B5EF4-FFF2-40B4-BE49-F238E27FC236}">
                  <a16:creationId xmlns:a16="http://schemas.microsoft.com/office/drawing/2014/main" id="{5631692E-5EE0-7C23-216D-35E6E841AD7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11906</xdr:colOff>
      <xdr:row>17</xdr:row>
      <xdr:rowOff>83344</xdr:rowOff>
    </xdr:from>
    <xdr:to>
      <xdr:col>19</xdr:col>
      <xdr:colOff>154781</xdr:colOff>
      <xdr:row>34</xdr:row>
      <xdr:rowOff>142875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08565BD9-58FC-B6E1-F4E6-6B45AE50E033}"/>
            </a:ext>
          </a:extLst>
        </xdr:cNvPr>
        <xdr:cNvGrpSpPr/>
      </xdr:nvGrpSpPr>
      <xdr:grpSpPr>
        <a:xfrm>
          <a:off x="2078831" y="3169444"/>
          <a:ext cx="10334625" cy="3298031"/>
          <a:chOff x="2083594" y="3178969"/>
          <a:chExt cx="10298906" cy="3298031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4D1F0864-A4F4-37F3-8029-1F495B27B0B8}"/>
              </a:ext>
            </a:extLst>
          </xdr:cNvPr>
          <xdr:cNvGrpSpPr/>
        </xdr:nvGrpSpPr>
        <xdr:grpSpPr>
          <a:xfrm>
            <a:off x="2095502" y="3178970"/>
            <a:ext cx="10275092" cy="3298030"/>
            <a:chOff x="2309814" y="1190625"/>
            <a:chExt cx="10275092" cy="2917032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BF010324-0D13-48F3-9FA9-6FF56F20097A}"/>
                </a:ext>
              </a:extLst>
            </xdr:cNvPr>
            <xdr:cNvSpPr/>
          </xdr:nvSpPr>
          <xdr:spPr>
            <a:xfrm>
              <a:off x="2309814" y="1190625"/>
              <a:ext cx="10275092" cy="2917032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>
                <a:latin typeface="+mn-lt"/>
              </a:endParaRPr>
            </a:p>
          </xdr:txBody>
        </xdr:sp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948B9E40-7373-426B-8EB6-A1EB1F9493BA}"/>
                </a:ext>
              </a:extLst>
            </xdr:cNvPr>
            <xdr:cNvGraphicFramePr>
              <a:graphicFrameLocks/>
            </xdr:cNvGraphicFramePr>
          </xdr:nvGraphicFramePr>
          <xdr:xfrm>
            <a:off x="2483645" y="1345406"/>
            <a:ext cx="9886947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9" name="Retângulo: Cantos Superiores Arredondados 28">
            <a:extLst>
              <a:ext uri="{FF2B5EF4-FFF2-40B4-BE49-F238E27FC236}">
                <a16:creationId xmlns:a16="http://schemas.microsoft.com/office/drawing/2014/main" id="{04E90C24-1EAF-4464-9E27-CA84E66E9AD4}"/>
              </a:ext>
            </a:extLst>
          </xdr:cNvPr>
          <xdr:cNvSpPr/>
        </xdr:nvSpPr>
        <xdr:spPr>
          <a:xfrm>
            <a:off x="2083594" y="3178969"/>
            <a:ext cx="10298906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+mn-lt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latin typeface="+mn-lt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+mn-lt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1</xdr:col>
      <xdr:colOff>223956</xdr:colOff>
      <xdr:row>2</xdr:row>
      <xdr:rowOff>228280</xdr:rowOff>
    </xdr:from>
    <xdr:to>
      <xdr:col>9</xdr:col>
      <xdr:colOff>314325</xdr:colOff>
      <xdr:row>5</xdr:row>
      <xdr:rowOff>19530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id="{FA5C664E-2699-4DBD-8F76-94B27D37C6C0}"/>
            </a:ext>
          </a:extLst>
        </xdr:cNvPr>
        <xdr:cNvSpPr/>
      </xdr:nvSpPr>
      <xdr:spPr>
        <a:xfrm>
          <a:off x="2052756" y="771205"/>
          <a:ext cx="4595694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01/01/2024 - 31/12/2024 | Update date: 25/12/2024 09:00:00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" refreshedDate="45650.439435069442" createdVersion="8" refreshedVersion="8" minRefreshableVersion="3" recordCount="295" xr:uid="{590B1258-CF1E-4807-8414-B70214B3D9F1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7659565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86295-8353-4BE2-9C12-200F15B8EF15}" name="tbl_annual_total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B4:C7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1" hier="-1"/>
  </pageFields>
  <dataFields count="1">
    <dataField name="Soma de Total Value" fld="12" baseField="0" baseItem="0" numFmtId="4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17BE4-EBDD-4E6C-AABB-48C907DB6551}" name="Tabela dinâmica9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19:C23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1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05490-F2B6-45E1-A8C2-E59BAE3E3FBC}" name="tbl_easeasonpass_total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11:C1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1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1AC8210-3CE9-44E0-963C-9922D0D2DE4E}" sourceName="Subscription Type">
  <pivotTables>
    <pivotTable tabId="3" name="tbl_annual_total"/>
    <pivotTable tabId="3" name="tbl_easeasonpass_total"/>
    <pivotTable tabId="3" name="Tabela dinâmica9"/>
  </pivotTables>
  <data>
    <tabular pivotCacheId="1765956580">
      <items count="3">
        <i x="1"/>
        <i x="0" s="1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6A61517-A6D6-4A95-9864-F0B00789349A}" cache="SegmentaçãodeDados_Subscription_Type" caption="Subscription Type" style="SlicerStyleLight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BIM 2026">
  <a:themeElements>
    <a:clrScheme name="BIM 2026">
      <a:dk1>
        <a:srgbClr val="2F3B4A"/>
      </a:dk1>
      <a:lt1>
        <a:srgbClr val="FFFFFF"/>
      </a:lt1>
      <a:dk2>
        <a:srgbClr val="3F4A57"/>
      </a:dk2>
      <a:lt2>
        <a:srgbClr val="F2F4F6"/>
      </a:lt2>
      <a:accent1>
        <a:srgbClr val="2F3B4A"/>
      </a:accent1>
      <a:accent2>
        <a:srgbClr val="C9B89A"/>
      </a:accent2>
      <a:accent3>
        <a:srgbClr val="BFC5CC"/>
      </a:accent3>
      <a:accent4>
        <a:srgbClr val="8A94A1"/>
      </a:accent4>
      <a:accent5>
        <a:srgbClr val="5C6773"/>
      </a:accent5>
      <a:accent6>
        <a:srgbClr val="E6E9ED"/>
      </a:accent6>
      <a:hlink>
        <a:srgbClr val="2F3B4A"/>
      </a:hlink>
      <a:folHlink>
        <a:srgbClr val="5C6773"/>
      </a:folHlink>
    </a:clrScheme>
    <a:fontScheme name="Padrão">
      <a:majorFont>
        <a:latin typeface="Gill Sans MT"/>
        <a:ea typeface=""/>
        <a:cs typeface=""/>
      </a:majorFont>
      <a:minorFont>
        <a:latin typeface="Aptos Narrow"/>
        <a:ea typeface=""/>
        <a:cs typeface=""/>
      </a:minorFont>
    </a:fontScheme>
    <a:fmtScheme name="Talho">
      <a:fillStyleLst>
        <a:solidFill>
          <a:schemeClr val="phClr"/>
        </a:solidFill>
        <a:solidFill>
          <a:schemeClr val="phClr">
            <a:tint val="65000"/>
          </a:schemeClr>
        </a:solidFill>
        <a:solidFill>
          <a:schemeClr val="phClr">
            <a:shade val="80000"/>
            <a:satMod val="150000"/>
          </a:schemeClr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17145" cap="flat" cmpd="sng" algn="ctr">
          <a:solidFill>
            <a:schemeClr val="phClr"/>
          </a:solidFill>
          <a:prstDash val="solid"/>
        </a:ln>
        <a:ln w="58420" cap="flat" cmpd="thickThin" algn="ctr">
          <a:solidFill>
            <a:schemeClr val="phClr">
              <a:shade val="95000"/>
              <a:alpha val="50000"/>
              <a:satMod val="150000"/>
            </a:schemeClr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38100" dir="270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l"/>
          </a:scene3d>
          <a:sp3d prstMaterial="flat">
            <a:bevelT w="31750" h="63500" prst="riblet"/>
          </a:sp3d>
        </a:effectStyle>
        <a:effectStyle>
          <a:effectLst>
            <a:outerShdw blurRad="50800" dist="38100" dir="27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l"/>
          </a:scene3d>
          <a:sp3d prstMaterial="flat">
            <a:bevelT w="57150" h="114300" prst="riblet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E6" sqref="E6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A19" sqref="A19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5.710937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315</v>
      </c>
      <c r="G1" s="9" t="s">
        <v>16</v>
      </c>
      <c r="H1" s="9" t="s">
        <v>312</v>
      </c>
      <c r="I1" s="9" t="s">
        <v>313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314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314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314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314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314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314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314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314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314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314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314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314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314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314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314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314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314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314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314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314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314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314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314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314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314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314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314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314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314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314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314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314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314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314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314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314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314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314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314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314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314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314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314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314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314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314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314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314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314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314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314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314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314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314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314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314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314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314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314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314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314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314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314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314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314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314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314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314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314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314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314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314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314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314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314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314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314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314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314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314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314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314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314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314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314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314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314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314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314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314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314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314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314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314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314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314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314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314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314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314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314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314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314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314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314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314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314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314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314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314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314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314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314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314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314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314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314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314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314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314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314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314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314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314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314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314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314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314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314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314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314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314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314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314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314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314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314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314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314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314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314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314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314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314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314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314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314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314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314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314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314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314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314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314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314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314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314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314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314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314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314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314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314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314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314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314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314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314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314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314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314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314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314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314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314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314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314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314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314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314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314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314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314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314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314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314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314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314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314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314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314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314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314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314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314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314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314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dimension ref="B2:E23"/>
  <sheetViews>
    <sheetView showGridLines="0" workbookViewId="0">
      <selection activeCell="E23" sqref="E23"/>
    </sheetView>
  </sheetViews>
  <sheetFormatPr defaultRowHeight="15" x14ac:dyDescent="0.25"/>
  <cols>
    <col min="2" max="2" width="18.42578125" bestFit="1" customWidth="1"/>
    <col min="3" max="3" width="35.140625" bestFit="1" customWidth="1"/>
    <col min="4" max="4" width="4.85546875" customWidth="1"/>
    <col min="5" max="5" width="12.140625" bestFit="1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2" spans="2:5" x14ac:dyDescent="0.25">
      <c r="B2" s="12" t="s">
        <v>16</v>
      </c>
      <c r="C2" t="s">
        <v>20</v>
      </c>
    </row>
    <row r="4" spans="2:5" x14ac:dyDescent="0.25">
      <c r="B4" s="12" t="s">
        <v>309</v>
      </c>
      <c r="C4" t="s">
        <v>317</v>
      </c>
    </row>
    <row r="5" spans="2:5" x14ac:dyDescent="0.25">
      <c r="B5" s="14" t="s">
        <v>23</v>
      </c>
      <c r="C5" s="13">
        <v>2824</v>
      </c>
    </row>
    <row r="6" spans="2:5" x14ac:dyDescent="0.25">
      <c r="B6" s="14" t="s">
        <v>19</v>
      </c>
      <c r="C6" s="13">
        <v>747</v>
      </c>
    </row>
    <row r="7" spans="2:5" x14ac:dyDescent="0.25">
      <c r="B7" s="14" t="s">
        <v>310</v>
      </c>
      <c r="C7" s="13">
        <v>3571</v>
      </c>
    </row>
    <row r="8" spans="2:5" x14ac:dyDescent="0.25">
      <c r="B8" s="14"/>
      <c r="C8" s="13"/>
    </row>
    <row r="9" spans="2:5" x14ac:dyDescent="0.25">
      <c r="B9" s="12" t="s">
        <v>16</v>
      </c>
      <c r="C9" t="s">
        <v>20</v>
      </c>
    </row>
    <row r="11" spans="2:5" x14ac:dyDescent="0.25">
      <c r="B11" s="12" t="s">
        <v>309</v>
      </c>
      <c r="C11" t="s">
        <v>316</v>
      </c>
    </row>
    <row r="12" spans="2:5" x14ac:dyDescent="0.25">
      <c r="B12" s="14" t="s">
        <v>22</v>
      </c>
      <c r="C12">
        <v>0</v>
      </c>
    </row>
    <row r="13" spans="2:5" x14ac:dyDescent="0.25">
      <c r="B13" s="14" t="s">
        <v>26</v>
      </c>
      <c r="C13">
        <v>0</v>
      </c>
    </row>
    <row r="14" spans="2:5" x14ac:dyDescent="0.25">
      <c r="B14" s="14" t="s">
        <v>18</v>
      </c>
      <c r="C14">
        <v>1350</v>
      </c>
    </row>
    <row r="15" spans="2:5" x14ac:dyDescent="0.25">
      <c r="B15" s="14" t="s">
        <v>310</v>
      </c>
      <c r="C15">
        <v>1350</v>
      </c>
      <c r="E15" s="15">
        <f>GETPIVOTDATA("EA Play Season Pass
Price",$B$11)</f>
        <v>1350</v>
      </c>
    </row>
    <row r="17" spans="2:5" x14ac:dyDescent="0.25">
      <c r="B17" s="12" t="s">
        <v>16</v>
      </c>
      <c r="C17" t="s">
        <v>20</v>
      </c>
    </row>
    <row r="19" spans="2:5" x14ac:dyDescent="0.25">
      <c r="B19" s="12" t="s">
        <v>309</v>
      </c>
      <c r="C19" t="s">
        <v>311</v>
      </c>
    </row>
    <row r="20" spans="2:5" x14ac:dyDescent="0.25">
      <c r="B20" s="14" t="s">
        <v>22</v>
      </c>
      <c r="C20" s="13">
        <v>0</v>
      </c>
    </row>
    <row r="21" spans="2:5" x14ac:dyDescent="0.25">
      <c r="B21" s="14" t="s">
        <v>26</v>
      </c>
      <c r="C21" s="13">
        <v>900</v>
      </c>
    </row>
    <row r="22" spans="2:5" x14ac:dyDescent="0.25">
      <c r="B22" s="14" t="s">
        <v>18</v>
      </c>
      <c r="C22" s="13">
        <v>900</v>
      </c>
    </row>
    <row r="23" spans="2:5" x14ac:dyDescent="0.25">
      <c r="B23" s="14" t="s">
        <v>310</v>
      </c>
      <c r="C23" s="13">
        <v>1800</v>
      </c>
      <c r="E23" s="15">
        <f>GETPIVOTDATA("Minecraft Season Pass Price",$B$19)</f>
        <v>1800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S136"/>
  <sheetViews>
    <sheetView showGridLines="0" tabSelected="1" zoomScaleNormal="100" workbookViewId="0">
      <selection activeCell="N13" sqref="N13"/>
    </sheetView>
  </sheetViews>
  <sheetFormatPr defaultRowHeight="15" x14ac:dyDescent="0.25"/>
  <cols>
    <col min="1" max="1" width="27.42578125" style="23" customWidth="1"/>
    <col min="2" max="2" width="3.5703125" style="16" customWidth="1"/>
    <col min="3" max="11" width="9.140625" style="16"/>
    <col min="12" max="12" width="6.5703125" style="16" customWidth="1"/>
    <col min="13" max="16384" width="9.140625" style="16"/>
  </cols>
  <sheetData>
    <row r="1" spans="1:19" x14ac:dyDescent="0.25"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</row>
    <row r="2" spans="1:19" ht="27.75" customHeight="1" thickBot="1" x14ac:dyDescent="0.75">
      <c r="A2" s="24" t="s">
        <v>319</v>
      </c>
      <c r="C2" s="19" t="s">
        <v>318</v>
      </c>
      <c r="D2" s="22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1"/>
      <c r="S2" s="21"/>
    </row>
    <row r="3" spans="1:19" ht="19.5" customHeight="1" thickTop="1" x14ac:dyDescent="0.25"/>
    <row r="4" spans="1:19" s="17" customFormat="1" ht="7.5" customHeight="1" x14ac:dyDescent="0.25">
      <c r="A4" s="23"/>
    </row>
    <row r="5" spans="1:19" s="17" customFormat="1" ht="7.5" customHeight="1" x14ac:dyDescent="0.25">
      <c r="A5" s="23"/>
    </row>
    <row r="6" spans="1:19" s="17" customFormat="1" ht="10.5" customHeight="1" x14ac:dyDescent="0.25">
      <c r="A6" s="23"/>
    </row>
    <row r="7" spans="1:19" s="17" customFormat="1" ht="9.75" customHeight="1" x14ac:dyDescent="0.25">
      <c r="A7" s="23"/>
    </row>
    <row r="8" spans="1:19" s="17" customFormat="1" ht="11.25" customHeight="1" x14ac:dyDescent="0.25">
      <c r="A8" s="23"/>
    </row>
    <row r="9" spans="1:19" s="17" customFormat="1" x14ac:dyDescent="0.25">
      <c r="A9" s="23"/>
    </row>
    <row r="10" spans="1:19" s="17" customFormat="1" x14ac:dyDescent="0.25">
      <c r="A10" s="23"/>
    </row>
    <row r="11" spans="1:19" s="17" customFormat="1" ht="14.25" customHeight="1" x14ac:dyDescent="0.25">
      <c r="A11" s="23"/>
    </row>
    <row r="12" spans="1:19" s="17" customFormat="1" x14ac:dyDescent="0.25">
      <c r="A12" s="23"/>
    </row>
    <row r="13" spans="1:19" s="17" customFormat="1" x14ac:dyDescent="0.25">
      <c r="A13" s="23"/>
    </row>
    <row r="14" spans="1:19" s="17" customFormat="1" x14ac:dyDescent="0.25">
      <c r="A14" s="23"/>
    </row>
    <row r="15" spans="1:19" s="17" customFormat="1" x14ac:dyDescent="0.25">
      <c r="A15" s="23"/>
    </row>
    <row r="16" spans="1:19" s="17" customFormat="1" x14ac:dyDescent="0.25">
      <c r="A16" s="23"/>
    </row>
    <row r="17" spans="1:1" s="17" customFormat="1" x14ac:dyDescent="0.25">
      <c r="A17" s="23"/>
    </row>
    <row r="18" spans="1:1" s="17" customFormat="1" x14ac:dyDescent="0.25">
      <c r="A18" s="23"/>
    </row>
    <row r="19" spans="1:1" s="17" customFormat="1" x14ac:dyDescent="0.25">
      <c r="A19" s="23"/>
    </row>
    <row r="20" spans="1:1" s="17" customFormat="1" x14ac:dyDescent="0.25">
      <c r="A20" s="23"/>
    </row>
    <row r="21" spans="1:1" s="17" customFormat="1" x14ac:dyDescent="0.25">
      <c r="A21" s="23"/>
    </row>
    <row r="22" spans="1:1" s="17" customFormat="1" x14ac:dyDescent="0.25">
      <c r="A22" s="23"/>
    </row>
    <row r="23" spans="1:1" s="17" customFormat="1" x14ac:dyDescent="0.25">
      <c r="A23" s="23"/>
    </row>
    <row r="24" spans="1:1" s="17" customFormat="1" x14ac:dyDescent="0.25">
      <c r="A24" s="23"/>
    </row>
    <row r="25" spans="1:1" s="17" customFormat="1" x14ac:dyDescent="0.25">
      <c r="A25" s="23"/>
    </row>
    <row r="26" spans="1:1" s="17" customFormat="1" x14ac:dyDescent="0.25">
      <c r="A26" s="23"/>
    </row>
    <row r="27" spans="1:1" s="17" customFormat="1" x14ac:dyDescent="0.25">
      <c r="A27" s="23"/>
    </row>
    <row r="28" spans="1:1" s="17" customFormat="1" x14ac:dyDescent="0.25">
      <c r="A28" s="23"/>
    </row>
    <row r="29" spans="1:1" s="17" customFormat="1" x14ac:dyDescent="0.25">
      <c r="A29" s="23"/>
    </row>
    <row r="30" spans="1:1" s="17" customFormat="1" x14ac:dyDescent="0.25">
      <c r="A30" s="23"/>
    </row>
    <row r="31" spans="1:1" s="17" customFormat="1" x14ac:dyDescent="0.25">
      <c r="A31" s="23"/>
    </row>
    <row r="32" spans="1:1" s="17" customFormat="1" x14ac:dyDescent="0.25">
      <c r="A32" s="23"/>
    </row>
    <row r="33" spans="1:1" s="17" customFormat="1" x14ac:dyDescent="0.25">
      <c r="A33" s="23"/>
    </row>
    <row r="34" spans="1:1" s="17" customFormat="1" x14ac:dyDescent="0.25">
      <c r="A34" s="23"/>
    </row>
    <row r="35" spans="1:1" s="17" customFormat="1" x14ac:dyDescent="0.25">
      <c r="A35" s="23"/>
    </row>
    <row r="36" spans="1:1" s="17" customFormat="1" x14ac:dyDescent="0.25">
      <c r="A36" s="23"/>
    </row>
    <row r="37" spans="1:1" s="17" customFormat="1" x14ac:dyDescent="0.25">
      <c r="A37" s="23"/>
    </row>
    <row r="38" spans="1:1" s="17" customFormat="1" x14ac:dyDescent="0.25">
      <c r="A38" s="23"/>
    </row>
    <row r="39" spans="1:1" s="17" customFormat="1" x14ac:dyDescent="0.25">
      <c r="A39" s="23"/>
    </row>
    <row r="40" spans="1:1" s="17" customFormat="1" x14ac:dyDescent="0.25">
      <c r="A40" s="23"/>
    </row>
    <row r="41" spans="1:1" s="17" customFormat="1" x14ac:dyDescent="0.25">
      <c r="A41" s="23"/>
    </row>
    <row r="42" spans="1:1" s="17" customFormat="1" x14ac:dyDescent="0.25">
      <c r="A42" s="23"/>
    </row>
    <row r="43" spans="1:1" s="17" customFormat="1" x14ac:dyDescent="0.25">
      <c r="A43" s="23"/>
    </row>
    <row r="44" spans="1:1" s="17" customFormat="1" x14ac:dyDescent="0.25">
      <c r="A44" s="23"/>
    </row>
    <row r="45" spans="1:1" s="17" customFormat="1" x14ac:dyDescent="0.25">
      <c r="A45" s="23"/>
    </row>
    <row r="46" spans="1:1" s="17" customFormat="1" x14ac:dyDescent="0.25">
      <c r="A46" s="23"/>
    </row>
    <row r="47" spans="1:1" s="17" customFormat="1" x14ac:dyDescent="0.25">
      <c r="A47" s="23"/>
    </row>
    <row r="48" spans="1:1" s="17" customFormat="1" x14ac:dyDescent="0.25">
      <c r="A48" s="23"/>
    </row>
    <row r="49" spans="1:1" s="17" customFormat="1" x14ac:dyDescent="0.25">
      <c r="A49" s="23"/>
    </row>
    <row r="50" spans="1:1" s="17" customFormat="1" x14ac:dyDescent="0.25">
      <c r="A50" s="23"/>
    </row>
    <row r="51" spans="1:1" s="17" customFormat="1" x14ac:dyDescent="0.25">
      <c r="A51" s="23"/>
    </row>
    <row r="52" spans="1:1" s="17" customFormat="1" x14ac:dyDescent="0.25">
      <c r="A52" s="23"/>
    </row>
    <row r="53" spans="1:1" s="17" customFormat="1" x14ac:dyDescent="0.25">
      <c r="A53" s="23"/>
    </row>
    <row r="54" spans="1:1" s="17" customFormat="1" x14ac:dyDescent="0.25">
      <c r="A54" s="23"/>
    </row>
    <row r="55" spans="1:1" s="17" customFormat="1" x14ac:dyDescent="0.25">
      <c r="A55" s="23"/>
    </row>
    <row r="56" spans="1:1" s="17" customFormat="1" x14ac:dyDescent="0.25">
      <c r="A56" s="23"/>
    </row>
    <row r="57" spans="1:1" s="17" customFormat="1" x14ac:dyDescent="0.25">
      <c r="A57" s="23"/>
    </row>
    <row r="58" spans="1:1" s="17" customFormat="1" x14ac:dyDescent="0.25">
      <c r="A58" s="23"/>
    </row>
    <row r="59" spans="1:1" s="17" customFormat="1" x14ac:dyDescent="0.25">
      <c r="A59" s="23"/>
    </row>
    <row r="60" spans="1:1" s="17" customFormat="1" x14ac:dyDescent="0.25">
      <c r="A60" s="23"/>
    </row>
    <row r="61" spans="1:1" s="17" customFormat="1" x14ac:dyDescent="0.25">
      <c r="A61" s="23"/>
    </row>
    <row r="62" spans="1:1" s="17" customFormat="1" x14ac:dyDescent="0.25">
      <c r="A62" s="23"/>
    </row>
    <row r="63" spans="1:1" s="17" customFormat="1" x14ac:dyDescent="0.25">
      <c r="A63" s="23"/>
    </row>
    <row r="64" spans="1:1" s="17" customFormat="1" x14ac:dyDescent="0.25">
      <c r="A64" s="23"/>
    </row>
    <row r="65" spans="1:1" s="17" customFormat="1" x14ac:dyDescent="0.25">
      <c r="A65" s="23"/>
    </row>
    <row r="66" spans="1:1" s="17" customFormat="1" x14ac:dyDescent="0.25">
      <c r="A66" s="23"/>
    </row>
    <row r="67" spans="1:1" s="17" customFormat="1" x14ac:dyDescent="0.25">
      <c r="A67" s="23"/>
    </row>
    <row r="68" spans="1:1" s="17" customFormat="1" x14ac:dyDescent="0.25">
      <c r="A68" s="23"/>
    </row>
    <row r="69" spans="1:1" s="17" customFormat="1" x14ac:dyDescent="0.25">
      <c r="A69" s="23"/>
    </row>
    <row r="70" spans="1:1" s="17" customFormat="1" x14ac:dyDescent="0.25">
      <c r="A70" s="23"/>
    </row>
    <row r="71" spans="1:1" s="17" customFormat="1" x14ac:dyDescent="0.25">
      <c r="A71" s="23"/>
    </row>
    <row r="72" spans="1:1" s="17" customFormat="1" x14ac:dyDescent="0.25">
      <c r="A72" s="23"/>
    </row>
    <row r="73" spans="1:1" s="17" customFormat="1" x14ac:dyDescent="0.25">
      <c r="A73" s="23"/>
    </row>
    <row r="74" spans="1:1" s="17" customFormat="1" x14ac:dyDescent="0.25">
      <c r="A74" s="23"/>
    </row>
    <row r="75" spans="1:1" s="17" customFormat="1" x14ac:dyDescent="0.25">
      <c r="A75" s="23"/>
    </row>
    <row r="76" spans="1:1" s="17" customFormat="1" x14ac:dyDescent="0.25">
      <c r="A76" s="23"/>
    </row>
    <row r="77" spans="1:1" s="17" customFormat="1" x14ac:dyDescent="0.25">
      <c r="A77" s="23"/>
    </row>
    <row r="78" spans="1:1" s="17" customFormat="1" x14ac:dyDescent="0.25">
      <c r="A78" s="23"/>
    </row>
    <row r="79" spans="1:1" s="17" customFormat="1" x14ac:dyDescent="0.25">
      <c r="A79" s="23"/>
    </row>
    <row r="80" spans="1:1" s="17" customFormat="1" x14ac:dyDescent="0.25">
      <c r="A80" s="23"/>
    </row>
    <row r="81" spans="1:1" s="17" customFormat="1" x14ac:dyDescent="0.25">
      <c r="A81" s="23"/>
    </row>
    <row r="82" spans="1:1" s="17" customFormat="1" x14ac:dyDescent="0.25">
      <c r="A82" s="23"/>
    </row>
    <row r="83" spans="1:1" s="17" customFormat="1" x14ac:dyDescent="0.25">
      <c r="A83" s="23"/>
    </row>
    <row r="84" spans="1:1" s="17" customFormat="1" x14ac:dyDescent="0.25">
      <c r="A84" s="23"/>
    </row>
    <row r="85" spans="1:1" s="17" customFormat="1" x14ac:dyDescent="0.25">
      <c r="A85" s="23"/>
    </row>
    <row r="86" spans="1:1" s="17" customFormat="1" x14ac:dyDescent="0.25">
      <c r="A86" s="23"/>
    </row>
    <row r="87" spans="1:1" s="17" customFormat="1" x14ac:dyDescent="0.25">
      <c r="A87" s="23"/>
    </row>
    <row r="88" spans="1:1" s="17" customFormat="1" x14ac:dyDescent="0.25">
      <c r="A88" s="23"/>
    </row>
    <row r="89" spans="1:1" s="17" customFormat="1" x14ac:dyDescent="0.25">
      <c r="A89" s="23"/>
    </row>
    <row r="90" spans="1:1" s="17" customFormat="1" x14ac:dyDescent="0.25">
      <c r="A90" s="23"/>
    </row>
    <row r="91" spans="1:1" s="17" customFormat="1" x14ac:dyDescent="0.25">
      <c r="A91" s="23"/>
    </row>
    <row r="92" spans="1:1" s="17" customFormat="1" x14ac:dyDescent="0.25">
      <c r="A92" s="23"/>
    </row>
    <row r="93" spans="1:1" s="17" customFormat="1" x14ac:dyDescent="0.25">
      <c r="A93" s="23"/>
    </row>
    <row r="94" spans="1:1" s="17" customFormat="1" x14ac:dyDescent="0.25">
      <c r="A94" s="23"/>
    </row>
    <row r="95" spans="1:1" s="17" customFormat="1" x14ac:dyDescent="0.25">
      <c r="A95" s="23"/>
    </row>
    <row r="96" spans="1:1" s="17" customFormat="1" x14ac:dyDescent="0.25">
      <c r="A96" s="23"/>
    </row>
    <row r="97" spans="1:1" s="17" customFormat="1" x14ac:dyDescent="0.25">
      <c r="A97" s="23"/>
    </row>
    <row r="98" spans="1:1" s="17" customFormat="1" x14ac:dyDescent="0.25">
      <c r="A98" s="23"/>
    </row>
    <row r="99" spans="1:1" s="17" customFormat="1" x14ac:dyDescent="0.25">
      <c r="A99" s="23"/>
    </row>
    <row r="100" spans="1:1" s="17" customFormat="1" x14ac:dyDescent="0.25">
      <c r="A100" s="23"/>
    </row>
    <row r="101" spans="1:1" s="17" customFormat="1" x14ac:dyDescent="0.25">
      <c r="A101" s="23"/>
    </row>
    <row r="102" spans="1:1" s="17" customFormat="1" x14ac:dyDescent="0.25">
      <c r="A102" s="23"/>
    </row>
    <row r="103" spans="1:1" s="17" customFormat="1" x14ac:dyDescent="0.25">
      <c r="A103" s="23"/>
    </row>
    <row r="104" spans="1:1" s="17" customFormat="1" x14ac:dyDescent="0.25">
      <c r="A104" s="23"/>
    </row>
    <row r="105" spans="1:1" s="17" customFormat="1" x14ac:dyDescent="0.25">
      <c r="A105" s="23"/>
    </row>
    <row r="106" spans="1:1" s="17" customFormat="1" x14ac:dyDescent="0.25">
      <c r="A106" s="23"/>
    </row>
    <row r="107" spans="1:1" s="17" customFormat="1" x14ac:dyDescent="0.25">
      <c r="A107" s="23"/>
    </row>
    <row r="108" spans="1:1" s="17" customFormat="1" x14ac:dyDescent="0.25">
      <c r="A108" s="23"/>
    </row>
    <row r="109" spans="1:1" s="17" customFormat="1" x14ac:dyDescent="0.25">
      <c r="A109" s="23"/>
    </row>
    <row r="110" spans="1:1" s="17" customFormat="1" x14ac:dyDescent="0.25">
      <c r="A110" s="23"/>
    </row>
    <row r="111" spans="1:1" s="17" customFormat="1" x14ac:dyDescent="0.25">
      <c r="A111" s="23"/>
    </row>
    <row r="112" spans="1:1" s="17" customFormat="1" x14ac:dyDescent="0.25">
      <c r="A112" s="23"/>
    </row>
    <row r="113" spans="1:1" s="17" customFormat="1" x14ac:dyDescent="0.25">
      <c r="A113" s="23"/>
    </row>
    <row r="114" spans="1:1" s="17" customFormat="1" x14ac:dyDescent="0.25">
      <c r="A114" s="23"/>
    </row>
    <row r="115" spans="1:1" s="17" customFormat="1" x14ac:dyDescent="0.25">
      <c r="A115" s="23"/>
    </row>
    <row r="116" spans="1:1" s="17" customFormat="1" x14ac:dyDescent="0.25">
      <c r="A116" s="23"/>
    </row>
    <row r="117" spans="1:1" s="17" customFormat="1" x14ac:dyDescent="0.25">
      <c r="A117" s="23"/>
    </row>
    <row r="118" spans="1:1" s="17" customFormat="1" x14ac:dyDescent="0.25">
      <c r="A118" s="23"/>
    </row>
    <row r="119" spans="1:1" s="17" customFormat="1" x14ac:dyDescent="0.25">
      <c r="A119" s="23"/>
    </row>
    <row r="120" spans="1:1" s="17" customFormat="1" x14ac:dyDescent="0.25">
      <c r="A120" s="23"/>
    </row>
    <row r="121" spans="1:1" s="17" customFormat="1" x14ac:dyDescent="0.25">
      <c r="A121" s="23"/>
    </row>
    <row r="122" spans="1:1" s="17" customFormat="1" x14ac:dyDescent="0.25">
      <c r="A122" s="23"/>
    </row>
    <row r="123" spans="1:1" s="17" customFormat="1" x14ac:dyDescent="0.25">
      <c r="A123" s="23"/>
    </row>
    <row r="124" spans="1:1" s="17" customFormat="1" x14ac:dyDescent="0.25">
      <c r="A124" s="23"/>
    </row>
    <row r="125" spans="1:1" s="17" customFormat="1" x14ac:dyDescent="0.25">
      <c r="A125" s="23"/>
    </row>
    <row r="126" spans="1:1" s="17" customFormat="1" x14ac:dyDescent="0.25">
      <c r="A126" s="23"/>
    </row>
    <row r="127" spans="1:1" s="17" customFormat="1" x14ac:dyDescent="0.25">
      <c r="A127" s="23"/>
    </row>
    <row r="128" spans="1:1" s="17" customFormat="1" x14ac:dyDescent="0.25">
      <c r="A128" s="23"/>
    </row>
    <row r="129" spans="1:1" s="17" customFormat="1" x14ac:dyDescent="0.25">
      <c r="A129" s="23"/>
    </row>
    <row r="130" spans="1:1" s="17" customFormat="1" x14ac:dyDescent="0.25">
      <c r="A130" s="23"/>
    </row>
    <row r="131" spans="1:1" s="17" customFormat="1" x14ac:dyDescent="0.25">
      <c r="A131" s="23"/>
    </row>
    <row r="132" spans="1:1" s="17" customFormat="1" x14ac:dyDescent="0.25">
      <c r="A132" s="23"/>
    </row>
    <row r="133" spans="1:1" s="17" customFormat="1" x14ac:dyDescent="0.25">
      <c r="A133" s="23"/>
    </row>
    <row r="134" spans="1:1" s="17" customFormat="1" x14ac:dyDescent="0.25">
      <c r="A134" s="23"/>
    </row>
    <row r="135" spans="1:1" s="17" customFormat="1" x14ac:dyDescent="0.25">
      <c r="A135" s="23"/>
    </row>
    <row r="136" spans="1:1" s="17" customFormat="1" x14ac:dyDescent="0.25">
      <c r="A136" s="23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99037E4-A6E4-45D3-B93A-3D2B6A0C2B33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B26109AA-4A63-4ABA-9238-1315B3F7EEA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6A6278B-0476-46CE-815A-3F41F43711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Rubia Oliveira</cp:lastModifiedBy>
  <dcterms:created xsi:type="dcterms:W3CDTF">2024-12-19T13:13:10Z</dcterms:created>
  <dcterms:modified xsi:type="dcterms:W3CDTF">2026-02-04T17:28:00Z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